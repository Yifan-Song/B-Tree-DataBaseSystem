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70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<sst xmlns="http://schemas.openxmlformats.org/spreadsheetml/2006/main" count="26">
  <si>
    <t>数据量</t>
  </si>
  <si>
    <t>有缓存储存</t>
  </si>
  <si>
    <t>有缓存查找</t>
  </si>
  <si>
    <t>有缓存修改</t>
  </si>
  <si>
    <t>有缓存删除</t>
  </si>
  <si>
    <t>无缓存储存</t>
  </si>
  <si>
    <t>无缓存查找</t>
  </si>
  <si>
    <t>无缓存修改</t>
  </si>
  <si>
    <t>无缓存删除</t>
  </si>
  <si>
    <t>缓存大小为1000</t>
  </si>
  <si>
    <t>储存时间</t>
  </si>
  <si>
    <t>查找时间</t>
  </si>
  <si>
    <t>修改时间</t>
  </si>
  <si>
    <t>删除时间</t>
  </si>
  <si>
    <t>缓存大小为5000</t>
  </si>
  <si>
    <t>缓存大小为10000</t>
  </si>
  <si>
    <t>缓存大小为50000</t>
  </si>
  <si>
    <t>读取索引时间</t>
  </si>
  <si>
    <t>读取数据时间</t>
  </si>
  <si>
    <t>关闭数据库时间</t>
  </si>
  <si>
    <t>B+树阶数为4</t>
  </si>
  <si>
    <t>B+树阶数为10</t>
  </si>
  <si>
    <t>B+树阶数为30</t>
  </si>
  <si>
    <t>B+树阶数为60</t>
  </si>
  <si>
    <t>有读缓存模拟用户操作时间</t>
  </si>
  <si>
    <t>无读缓存模拟用户操作时间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</si>
</sst>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有无缓存时数据量与模拟用户单次操作时间关系对比图</a:t>
            </a:r>
          </a:p>
        </c:rich>
      </c:tx>
      <c:layout>
        <c:manualLayout>
          <c:xMode val="edge"/>
          <c:yMode val="edge"/>
          <c:x val="0.11875"/>
          <c:y val="0.0173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4166666666667"/>
          <c:y val="0.169444444444444"/>
          <c:w val="0.873458333333333"/>
          <c:h val="0.711666666666667"/>
        </c:manualLayout>
      </c:layout>
      <c:scatterChart>
        <c:scatterStyle val="smoothMarker"/>
        <c:varyColors val="0"/>
        <c:ser>
          <c:idx val="8"/>
          <c:order val="8"/>
          <c:tx>
            <c:strRef>
              <c:f>"666"</c:f>
              <c:strCache>
                <c:ptCount val="1"/>
                <c:pt idx="0">
                  <c:v>666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有读缓存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{1000,10000,100000,1000000}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Sheet1!$M$32:$O$32</c:f>
              <c:numCache>
                <c:formatCode>General</c:formatCode>
                <c:ptCount val="3"/>
                <c:pt idx="0">
                  <c:v>30</c:v>
                </c:pt>
                <c:pt idx="1">
                  <c:v>10.5</c:v>
                </c:pt>
                <c:pt idx="2">
                  <c:v>13.67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"6666"</c:f>
              <c:strCache>
                <c:ptCount val="1"/>
                <c:pt idx="0">
                  <c:v>6666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altLang="en-US"/>
                      <a:t>无读缓存</a:t>
                    </a:r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{1000,10000,100000,1000000}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Sheet1!$M$33:$O$33</c:f>
              <c:numCache>
                <c:formatCode>General</c:formatCode>
                <c:ptCount val="3"/>
                <c:pt idx="0">
                  <c:v>230</c:v>
                </c:pt>
                <c:pt idx="1">
                  <c:v>87.4</c:v>
                </c:pt>
                <c:pt idx="2">
                  <c:v>82.51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618561"/>
        <c:axId val="9739980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0.061</c:v>
                      </c:pt>
                      <c:pt idx="1">
                        <c:v>0.516</c:v>
                      </c:pt>
                      <c:pt idx="2">
                        <c:v>4.885</c:v>
                      </c:pt>
                      <c:pt idx="3">
                        <c:v>48.987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"4阶"</c15:sqref>
                        </c15:formulaRef>
                      </c:ext>
                    </c:extLst>
                    <c:strCache>
                      <c:ptCount val="1"/>
                      <c:pt idx="0">
                        <c:v>4阶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</c:dLbl>
                  <c:dLbl>
                    <c:idx val="1"/>
                    <c:delete val="1"/>
                  </c:dLbl>
                  <c:dLbl>
                    <c:idx val="2"/>
                    <c:delete val="1"/>
                  </c:dLbl>
                  <c:dLbl>
                    <c:idx val="3"/>
                    <c:layout>
                      <c:manualLayout>
                        <c:x val="0.0208333333333333"/>
                        <c:y val="-0.0555555555555556"/>
                      </c:manualLayout>
                    </c:layout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34</c:v>
                      </c:pt>
                      <c:pt idx="1">
                        <c:v>23</c:v>
                      </c:pt>
                      <c:pt idx="2">
                        <c:v>27.55</c:v>
                      </c:pt>
                      <c:pt idx="3">
                        <c:v>27.514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"10阶"</c15:sqref>
                        </c15:formulaRef>
                      </c:ext>
                    </c:extLst>
                    <c:strCache>
                      <c:ptCount val="1"/>
                      <c:pt idx="0">
                        <c:v>10阶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</c:dLbl>
                  <c:dLbl>
                    <c:idx val="1"/>
                    <c:delete val="1"/>
                  </c:dLbl>
                  <c:dLbl>
                    <c:idx val="2"/>
                    <c:delete val="1"/>
                  </c:dLbl>
                  <c:dLbl>
                    <c:idx val="3"/>
                    <c:layout>
                      <c:manualLayout>
                        <c:x val="0.0208333333333333"/>
                        <c:y val="-0.0208333333333333"/>
                      </c:manualLayout>
                    </c:layout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35</c:v>
                      </c:pt>
                      <c:pt idx="1">
                        <c:v>28.2</c:v>
                      </c:pt>
                      <c:pt idx="2">
                        <c:v>24.88</c:v>
                      </c:pt>
                      <c:pt idx="3">
                        <c:v>25.891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"30阶"</c15:sqref>
                        </c15:formulaRef>
                      </c:ext>
                    </c:extLst>
                    <c:strCache>
                      <c:ptCount val="1"/>
                      <c:pt idx="0">
                        <c:v>30阶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</c:dLbl>
                  <c:dLbl>
                    <c:idx val="1"/>
                    <c:delete val="1"/>
                  </c:dLbl>
                  <c:dLbl>
                    <c:idx val="2"/>
                    <c:delete val="1"/>
                  </c:dLbl>
                  <c:dLbl>
                    <c:idx val="3"/>
                    <c:layout>
                      <c:manualLayout>
                        <c:x val="0.0224166666666666"/>
                        <c:y val="0.0243055555555556"/>
                      </c:manualLayout>
                    </c:layout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42</c:v>
                      </c:pt>
                      <c:pt idx="1">
                        <c:v>23.6</c:v>
                      </c:pt>
                      <c:pt idx="2">
                        <c:v>24.65</c:v>
                      </c:pt>
                      <c:pt idx="3">
                        <c:v>24.8585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"60阶"</c15:sqref>
                        </c15:formulaRef>
                      </c:ext>
                    </c:extLst>
                    <c:strCache>
                      <c:ptCount val="1"/>
                      <c:pt idx="0">
                        <c:v>60阶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</c:dLbl>
                  <c:dLbl>
                    <c:idx val="1"/>
                    <c:delete val="1"/>
                  </c:dLbl>
                  <c:dLbl>
                    <c:idx val="2"/>
                    <c:delete val="1"/>
                  </c:dLbl>
                  <c:dLbl>
                    <c:idx val="3"/>
                    <c:layout>
                      <c:manualLayout>
                        <c:x val="0.0265833333333333"/>
                        <c:y val="0.0902777777777778"/>
                      </c:manualLayout>
                    </c:layout>
                    <c:tx>
                      <c:rich>
                        <a:bodyPr rot="0" spcFirstLastPara="0" vertOverflow="ellipsis" vert="horz" wrap="square" lIns="38100" tIns="19050" rIns="38100" bIns="19050" anchor="ctr" anchorCtr="1"/>
                        <a:lstStyle/>
                        <a:p>
                          <a:pPr defTabSz="914400">
                            <a:defRPr lang="zh-CN" sz="900" b="0" i="0" u="none" strike="noStrike" kern="1200" baseline="0">
                              <a:solidFill>
                                <a:schemeClr val="tx1">
                                  <a:lumMod val="75000"/>
                                  <a:lumOff val="2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altLang="zh-CN"/>
                            <a:t>60</a:t>
                          </a:r>
                          <a:r>
                            <a:rPr altLang="en-US"/>
                            <a:t>阶</a:t>
                          </a:r>
                          <a:endParaRPr lang="en-US" altLang="zh-CN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41</c:v>
                      </c:pt>
                      <c:pt idx="1">
                        <c:v>31.2</c:v>
                      </c:pt>
                      <c:pt idx="2">
                        <c:v>26.02</c:v>
                      </c:pt>
                      <c:pt idx="3">
                        <c:v>25.236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"1"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1.2</c:v>
                      </c:pt>
                      <c:pt idx="2">
                        <c:v>1.01</c:v>
                      </c:pt>
                      <c:pt idx="3">
                        <c:v>1.31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"2"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16</c:v>
                      </c:pt>
                      <c:pt idx="1">
                        <c:v>20.7</c:v>
                      </c:pt>
                      <c:pt idx="2">
                        <c:v>17.01</c:v>
                      </c:pt>
                      <c:pt idx="3">
                        <c:v>15.6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"3"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4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"/>
                      <c:pt idx="0">
                        <c:v>22</c:v>
                      </c:pt>
                      <c:pt idx="1">
                        <c:v>6.7</c:v>
                      </c:pt>
                      <c:pt idx="2">
                        <c:v>4.86</c:v>
                      </c:pt>
                      <c:pt idx="3">
                        <c:v>4.91</c:v>
                      </c:pt>
                    </c:numCache>
                  </c:numRef>
                </c:yVal>
                <c:smooth val="1"/>
              </c15:ser>
            </c15:filteredScatterSeries>
          </c:ext>
        </c:extLst>
      </c:scatterChart>
      <c:valAx>
        <c:axId val="5436185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998004"/>
        <c:crosses val="autoZero"/>
        <c:crossBetween val="midCat"/>
      </c:valAx>
      <c:valAx>
        <c:axId val="9739980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6185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609600</xdr:colOff>
      <xdr:row>5</xdr:row>
      <xdr:rowOff>82550</xdr:rowOff>
    </xdr:from>
    <xdr:to>
      <xdr:col>18</xdr:col>
      <xdr:colOff>381000</xdr:colOff>
      <xdr:row>21</xdr:row>
      <xdr:rowOff>82550</xdr:rowOff>
    </xdr:to>
    <xdr:graphicFrame>
      <xdr:nvGraphicFramePr>
        <xdr:cNvPr id="3" name="图表 2"/>
        <xdr:cNvGraphicFramePr/>
      </xdr:nvGraphicFramePr>
      <xdr:xfrm>
        <a:off x="8677275" y="939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8"/>
  <sheetViews>
    <sheetView tabSelected="1" workbookViewId="0">
      <selection activeCell="B1" sqref="B57:F58 B1:F1"/>
    </sheetView>
  </sheetViews>
  <sheetFormatPr defaultColWidth="9" defaultRowHeight="13.5"/>
  <cols>
    <col min="7" max="8" width="9.375"/>
    <col min="9" max="9" width="11.5"/>
    <col min="10" max="10" width="12.625"/>
  </cols>
  <sheetData>
    <row r="1" spans="2:6">
      <c r="B1" t="s">
        <v>0</v>
      </c>
      <c r="C1">
        <v>1000</v>
      </c>
      <c r="D1">
        <v>10000</v>
      </c>
      <c r="E1">
        <v>100000</v>
      </c>
      <c r="F1">
        <v>1000000</v>
      </c>
    </row>
    <row r="2" spans="2:10">
      <c r="B2" t="s">
        <v>1</v>
      </c>
      <c r="C2">
        <v>0.007</v>
      </c>
      <c r="D2">
        <v>0.077</v>
      </c>
      <c r="E2">
        <v>0.815</v>
      </c>
      <c r="F2">
        <v>8.277</v>
      </c>
      <c r="G2">
        <f t="shared" ref="G2:G11" si="0">C2*1000000/$C$1</f>
        <v>7</v>
      </c>
      <c r="H2">
        <f t="shared" ref="H2:H11" si="1">D2*1000000/$D$1</f>
        <v>7.7</v>
      </c>
      <c r="I2">
        <f t="shared" ref="I2:I11" si="2">E2*1000000/$E$1</f>
        <v>8.15</v>
      </c>
      <c r="J2">
        <f>F2*1000000/$F$1</f>
        <v>8.277</v>
      </c>
    </row>
    <row r="3" spans="2:10">
      <c r="B3" t="s">
        <v>2</v>
      </c>
      <c r="C3">
        <v>0.027</v>
      </c>
      <c r="D3">
        <v>0.132</v>
      </c>
      <c r="E3">
        <v>0.835</v>
      </c>
      <c r="F3">
        <v>9.011</v>
      </c>
      <c r="G3">
        <f t="shared" si="0"/>
        <v>27</v>
      </c>
      <c r="H3">
        <f t="shared" si="1"/>
        <v>13.2</v>
      </c>
      <c r="I3">
        <f t="shared" si="2"/>
        <v>8.35</v>
      </c>
      <c r="J3">
        <f>F3*1000000/$F$1</f>
        <v>9.011</v>
      </c>
    </row>
    <row r="4" spans="2:10">
      <c r="B4" t="s">
        <v>3</v>
      </c>
      <c r="C4">
        <v>0.042</v>
      </c>
      <c r="D4">
        <v>0.236</v>
      </c>
      <c r="E4">
        <v>2.465</v>
      </c>
      <c r="F4">
        <v>24.8585</v>
      </c>
      <c r="G4">
        <f t="shared" si="0"/>
        <v>42</v>
      </c>
      <c r="H4">
        <f t="shared" si="1"/>
        <v>23.6</v>
      </c>
      <c r="I4">
        <f t="shared" si="2"/>
        <v>24.65</v>
      </c>
      <c r="J4">
        <f>F4*1000000/$F$1</f>
        <v>24.8585</v>
      </c>
    </row>
    <row r="5" spans="2:10">
      <c r="B5" t="s">
        <v>4</v>
      </c>
      <c r="C5">
        <v>0.005</v>
      </c>
      <c r="D5">
        <v>0.02</v>
      </c>
      <c r="E5">
        <v>0.192</v>
      </c>
      <c r="F5">
        <v>2.004</v>
      </c>
      <c r="G5">
        <f t="shared" si="0"/>
        <v>5</v>
      </c>
      <c r="H5">
        <f t="shared" si="1"/>
        <v>2</v>
      </c>
      <c r="I5">
        <f t="shared" si="2"/>
        <v>1.92</v>
      </c>
      <c r="J5">
        <f>F5*1000000/$F$1</f>
        <v>2.004</v>
      </c>
    </row>
    <row r="6" spans="2:10">
      <c r="B6" t="s">
        <v>5</v>
      </c>
      <c r="C6">
        <v>0.061</v>
      </c>
      <c r="D6">
        <v>0.516</v>
      </c>
      <c r="E6">
        <v>4.885</v>
      </c>
      <c r="F6">
        <v>48.987</v>
      </c>
      <c r="G6">
        <f t="shared" si="0"/>
        <v>61</v>
      </c>
      <c r="H6">
        <f t="shared" si="1"/>
        <v>51.6</v>
      </c>
      <c r="I6">
        <f t="shared" si="2"/>
        <v>48.85</v>
      </c>
      <c r="J6">
        <f>F6*1000000/$F$1</f>
        <v>48.987</v>
      </c>
    </row>
    <row r="7" spans="2:10">
      <c r="B7" t="s">
        <v>6</v>
      </c>
      <c r="C7">
        <v>0.01</v>
      </c>
      <c r="D7">
        <v>0.078</v>
      </c>
      <c r="E7">
        <v>0.67</v>
      </c>
      <c r="F7">
        <v>6.928</v>
      </c>
      <c r="G7">
        <f t="shared" si="0"/>
        <v>10</v>
      </c>
      <c r="H7">
        <f t="shared" si="1"/>
        <v>7.8</v>
      </c>
      <c r="I7">
        <f t="shared" si="2"/>
        <v>6.7</v>
      </c>
      <c r="J7">
        <f>F7*1000000/$F$1</f>
        <v>6.928</v>
      </c>
    </row>
    <row r="8" spans="2:10">
      <c r="B8" t="s">
        <v>7</v>
      </c>
      <c r="C8">
        <v>0.056</v>
      </c>
      <c r="D8">
        <v>0.483</v>
      </c>
      <c r="E8">
        <v>4.607</v>
      </c>
      <c r="F8">
        <v>46.265</v>
      </c>
      <c r="G8">
        <f>C8*1000000/$C$1</f>
        <v>56</v>
      </c>
      <c r="H8">
        <f t="shared" si="1"/>
        <v>48.3</v>
      </c>
      <c r="I8">
        <f t="shared" si="2"/>
        <v>46.07</v>
      </c>
      <c r="J8">
        <f>F8*1000000/$F$1</f>
        <v>46.265</v>
      </c>
    </row>
    <row r="9" spans="2:10">
      <c r="B9" t="s">
        <v>8</v>
      </c>
      <c r="C9">
        <v>0.005</v>
      </c>
      <c r="D9">
        <v>0.02</v>
      </c>
      <c r="E9">
        <v>0.192</v>
      </c>
      <c r="F9">
        <v>2.072</v>
      </c>
      <c r="G9">
        <f t="shared" si="0"/>
        <v>5</v>
      </c>
      <c r="H9">
        <f t="shared" si="1"/>
        <v>2</v>
      </c>
      <c r="I9">
        <f t="shared" si="2"/>
        <v>1.92</v>
      </c>
      <c r="J9">
        <f>F9*1000000/$F$1</f>
        <v>2.072</v>
      </c>
    </row>
    <row r="10" spans="7:10">
      <c r="G10">
        <f t="shared" si="0"/>
        <v>0</v>
      </c>
      <c r="H10">
        <f t="shared" si="1"/>
        <v>0</v>
      </c>
      <c r="I10">
        <f t="shared" si="2"/>
        <v>0</v>
      </c>
      <c r="J10">
        <f>F10*1000000/$F$1</f>
        <v>0</v>
      </c>
    </row>
    <row r="11" spans="2:10">
      <c r="B11" t="s">
        <v>9</v>
      </c>
      <c r="G11">
        <f t="shared" si="0"/>
        <v>0</v>
      </c>
      <c r="H11">
        <f t="shared" si="1"/>
        <v>0</v>
      </c>
      <c r="I11">
        <f t="shared" si="2"/>
        <v>0</v>
      </c>
      <c r="J11">
        <f>F11*1000000/$F$1</f>
        <v>0</v>
      </c>
    </row>
    <row r="12" spans="2:10">
      <c r="B12" t="s">
        <v>10</v>
      </c>
      <c r="C12">
        <v>0.011</v>
      </c>
      <c r="D12">
        <v>0.177</v>
      </c>
      <c r="E12">
        <v>2.256</v>
      </c>
      <c r="F12">
        <v>21.548</v>
      </c>
      <c r="G12">
        <f>C12*1000000/$C$1</f>
        <v>11</v>
      </c>
      <c r="H12">
        <f>D12*1000000/$D$1</f>
        <v>17.7</v>
      </c>
      <c r="I12">
        <f>E12*1000000/$E$1</f>
        <v>22.56</v>
      </c>
      <c r="J12">
        <f>F12*1000000/$F$1</f>
        <v>21.548</v>
      </c>
    </row>
    <row r="13" spans="2:10">
      <c r="B13" t="s">
        <v>11</v>
      </c>
      <c r="C13">
        <v>0.025</v>
      </c>
      <c r="D13">
        <v>0.088</v>
      </c>
      <c r="E13">
        <v>0.781</v>
      </c>
      <c r="F13">
        <v>9.091</v>
      </c>
      <c r="G13">
        <f t="shared" ref="G13:G51" si="3">C13*1000000/$C$1</f>
        <v>25</v>
      </c>
      <c r="H13">
        <f t="shared" ref="H13:H51" si="4">D13*1000000/$D$1</f>
        <v>8.8</v>
      </c>
      <c r="I13">
        <f t="shared" ref="I13:I51" si="5">E13*1000000/$E$1</f>
        <v>7.81</v>
      </c>
      <c r="J13">
        <f t="shared" ref="J13:J51" si="6">F13*1000000/$F$1</f>
        <v>9.091</v>
      </c>
    </row>
    <row r="14" spans="2:10">
      <c r="B14" t="s">
        <v>12</v>
      </c>
      <c r="C14">
        <v>0.042</v>
      </c>
      <c r="D14">
        <v>0.3</v>
      </c>
      <c r="E14">
        <v>3.483</v>
      </c>
      <c r="F14">
        <v>31.598</v>
      </c>
      <c r="G14">
        <f t="shared" si="3"/>
        <v>42</v>
      </c>
      <c r="H14">
        <f t="shared" si="4"/>
        <v>30</v>
      </c>
      <c r="I14">
        <f t="shared" si="5"/>
        <v>34.83</v>
      </c>
      <c r="J14">
        <f t="shared" si="6"/>
        <v>31.598</v>
      </c>
    </row>
    <row r="15" spans="2:10">
      <c r="B15" t="s">
        <v>13</v>
      </c>
      <c r="C15">
        <v>0.004</v>
      </c>
      <c r="D15">
        <v>0.019</v>
      </c>
      <c r="E15">
        <v>0.249</v>
      </c>
      <c r="F15">
        <v>2.032</v>
      </c>
      <c r="G15">
        <f t="shared" si="3"/>
        <v>4</v>
      </c>
      <c r="H15">
        <f t="shared" si="4"/>
        <v>1.9</v>
      </c>
      <c r="I15">
        <f t="shared" si="5"/>
        <v>2.49</v>
      </c>
      <c r="J15">
        <f t="shared" si="6"/>
        <v>2.032</v>
      </c>
    </row>
    <row r="16" spans="2:10">
      <c r="B16" t="s">
        <v>14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</row>
    <row r="17" spans="2:10">
      <c r="B17" t="s">
        <v>10</v>
      </c>
      <c r="C17">
        <v>0.007</v>
      </c>
      <c r="D17">
        <v>0.073</v>
      </c>
      <c r="E17">
        <v>0.892</v>
      </c>
      <c r="F17">
        <v>9.927</v>
      </c>
      <c r="G17">
        <f t="shared" si="3"/>
        <v>7</v>
      </c>
      <c r="H17">
        <f t="shared" si="4"/>
        <v>7.3</v>
      </c>
      <c r="I17">
        <f t="shared" si="5"/>
        <v>8.92</v>
      </c>
      <c r="J17">
        <f t="shared" si="6"/>
        <v>9.927</v>
      </c>
    </row>
    <row r="18" spans="2:10">
      <c r="B18" t="s">
        <v>11</v>
      </c>
      <c r="C18">
        <v>0.026</v>
      </c>
      <c r="D18">
        <v>0.119</v>
      </c>
      <c r="E18">
        <v>0.896</v>
      </c>
      <c r="F18">
        <v>9.278</v>
      </c>
      <c r="G18">
        <f t="shared" si="3"/>
        <v>26</v>
      </c>
      <c r="H18">
        <f t="shared" si="4"/>
        <v>11.9</v>
      </c>
      <c r="I18">
        <f t="shared" si="5"/>
        <v>8.96</v>
      </c>
      <c r="J18">
        <f t="shared" si="6"/>
        <v>9.278</v>
      </c>
    </row>
    <row r="19" spans="2:10">
      <c r="B19" t="s">
        <v>12</v>
      </c>
      <c r="C19">
        <v>0.048</v>
      </c>
      <c r="D19">
        <v>0.407</v>
      </c>
      <c r="E19">
        <v>2.732</v>
      </c>
      <c r="F19">
        <v>26.335</v>
      </c>
      <c r="G19">
        <f t="shared" si="3"/>
        <v>48</v>
      </c>
      <c r="H19">
        <f t="shared" si="4"/>
        <v>40.7</v>
      </c>
      <c r="I19">
        <f t="shared" si="5"/>
        <v>27.32</v>
      </c>
      <c r="J19">
        <f t="shared" si="6"/>
        <v>26.335</v>
      </c>
    </row>
    <row r="20" spans="2:10">
      <c r="B20" t="s">
        <v>13</v>
      </c>
      <c r="C20">
        <v>0.004</v>
      </c>
      <c r="D20">
        <v>0.031</v>
      </c>
      <c r="E20">
        <v>0.197</v>
      </c>
      <c r="F20">
        <v>2.192</v>
      </c>
      <c r="G20">
        <f t="shared" si="3"/>
        <v>4</v>
      </c>
      <c r="H20">
        <f t="shared" si="4"/>
        <v>3.1</v>
      </c>
      <c r="I20">
        <f t="shared" si="5"/>
        <v>1.97</v>
      </c>
      <c r="J20">
        <f t="shared" si="6"/>
        <v>2.192</v>
      </c>
    </row>
    <row r="21" spans="2:10">
      <c r="B21" t="s">
        <v>15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</row>
    <row r="22" spans="2:10">
      <c r="B22" t="s">
        <v>10</v>
      </c>
      <c r="C22">
        <v>0.007</v>
      </c>
      <c r="D22">
        <v>0.077</v>
      </c>
      <c r="E22">
        <v>0.815</v>
      </c>
      <c r="F22">
        <v>8.277</v>
      </c>
      <c r="G22">
        <f t="shared" si="3"/>
        <v>7</v>
      </c>
      <c r="H22">
        <f t="shared" si="4"/>
        <v>7.7</v>
      </c>
      <c r="I22">
        <f t="shared" si="5"/>
        <v>8.15</v>
      </c>
      <c r="J22">
        <f t="shared" si="6"/>
        <v>8.277</v>
      </c>
    </row>
    <row r="23" spans="2:10">
      <c r="B23" t="s">
        <v>11</v>
      </c>
      <c r="C23">
        <v>0.027</v>
      </c>
      <c r="D23">
        <v>0.132</v>
      </c>
      <c r="E23">
        <v>0.835</v>
      </c>
      <c r="F23">
        <v>9.011</v>
      </c>
      <c r="G23">
        <f t="shared" si="3"/>
        <v>27</v>
      </c>
      <c r="H23">
        <f t="shared" si="4"/>
        <v>13.2</v>
      </c>
      <c r="I23">
        <f t="shared" si="5"/>
        <v>8.35</v>
      </c>
      <c r="J23">
        <f t="shared" si="6"/>
        <v>9.011</v>
      </c>
    </row>
    <row r="24" spans="2:10">
      <c r="B24" t="s">
        <v>12</v>
      </c>
      <c r="C24">
        <v>0.042</v>
      </c>
      <c r="D24">
        <v>0.236</v>
      </c>
      <c r="E24">
        <v>2.465</v>
      </c>
      <c r="F24">
        <v>24.8585</v>
      </c>
      <c r="G24">
        <f t="shared" si="3"/>
        <v>42</v>
      </c>
      <c r="H24">
        <f t="shared" si="4"/>
        <v>23.6</v>
      </c>
      <c r="I24">
        <f t="shared" si="5"/>
        <v>24.65</v>
      </c>
      <c r="J24">
        <f t="shared" si="6"/>
        <v>24.8585</v>
      </c>
    </row>
    <row r="25" spans="2:10">
      <c r="B25" t="s">
        <v>13</v>
      </c>
      <c r="C25">
        <v>0.005</v>
      </c>
      <c r="D25">
        <v>0.02</v>
      </c>
      <c r="E25">
        <v>0.192</v>
      </c>
      <c r="F25">
        <v>2.004</v>
      </c>
      <c r="G25">
        <f t="shared" si="3"/>
        <v>5</v>
      </c>
      <c r="H25">
        <f t="shared" si="4"/>
        <v>2</v>
      </c>
      <c r="I25">
        <f t="shared" si="5"/>
        <v>1.92</v>
      </c>
      <c r="J25">
        <f t="shared" si="6"/>
        <v>2.004</v>
      </c>
    </row>
    <row r="26" spans="2:21">
      <c r="B26" t="s">
        <v>16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M26" t="s">
        <v>17</v>
      </c>
      <c r="N26">
        <v>0.001</v>
      </c>
      <c r="O26">
        <v>0.012</v>
      </c>
      <c r="P26">
        <v>0.101</v>
      </c>
      <c r="Q26">
        <v>1.31</v>
      </c>
      <c r="R26">
        <f>N26*1000000/$C$1</f>
        <v>1</v>
      </c>
      <c r="S26">
        <f>O26*1000000/$D$1</f>
        <v>1.2</v>
      </c>
      <c r="T26">
        <f>P26*1000000/$E$1</f>
        <v>1.01</v>
      </c>
      <c r="U26">
        <f>Q26*1000000/$F$1</f>
        <v>1.31</v>
      </c>
    </row>
    <row r="27" spans="2:21">
      <c r="B27" t="s">
        <v>10</v>
      </c>
      <c r="C27">
        <v>0.007</v>
      </c>
      <c r="D27">
        <v>0.057</v>
      </c>
      <c r="E27">
        <v>0.728</v>
      </c>
      <c r="F27">
        <v>7.378</v>
      </c>
      <c r="G27">
        <f t="shared" si="3"/>
        <v>7</v>
      </c>
      <c r="H27">
        <f t="shared" si="4"/>
        <v>5.7</v>
      </c>
      <c r="I27">
        <f t="shared" si="5"/>
        <v>7.28</v>
      </c>
      <c r="J27">
        <f t="shared" si="6"/>
        <v>7.378</v>
      </c>
      <c r="M27" t="s">
        <v>18</v>
      </c>
      <c r="N27">
        <v>0.016</v>
      </c>
      <c r="O27">
        <v>0.207</v>
      </c>
      <c r="P27">
        <v>1.701</v>
      </c>
      <c r="Q27">
        <v>15.6</v>
      </c>
      <c r="R27">
        <f>N27*1000000/$C$1</f>
        <v>16</v>
      </c>
      <c r="S27">
        <f>O27*1000000/$D$1</f>
        <v>20.7</v>
      </c>
      <c r="T27">
        <f>P27*1000000/$E$1</f>
        <v>17.01</v>
      </c>
      <c r="U27">
        <f>Q27*1000000/$F$1</f>
        <v>15.6</v>
      </c>
    </row>
    <row r="28" spans="2:21">
      <c r="B28" t="s">
        <v>11</v>
      </c>
      <c r="C28">
        <v>0.021</v>
      </c>
      <c r="D28">
        <v>0.092</v>
      </c>
      <c r="E28">
        <v>0.727</v>
      </c>
      <c r="F28">
        <v>9.339</v>
      </c>
      <c r="G28">
        <f t="shared" si="3"/>
        <v>21</v>
      </c>
      <c r="H28">
        <f t="shared" si="4"/>
        <v>9.2</v>
      </c>
      <c r="I28">
        <f t="shared" si="5"/>
        <v>7.27</v>
      </c>
      <c r="J28">
        <f t="shared" si="6"/>
        <v>9.339</v>
      </c>
      <c r="M28" t="s">
        <v>19</v>
      </c>
      <c r="N28">
        <v>0.022</v>
      </c>
      <c r="O28">
        <v>0.067</v>
      </c>
      <c r="P28">
        <v>0.486</v>
      </c>
      <c r="Q28">
        <v>4.91</v>
      </c>
      <c r="R28">
        <f>N28*1000000/$C$1</f>
        <v>22</v>
      </c>
      <c r="S28">
        <f>O28*1000000/$D$1</f>
        <v>6.7</v>
      </c>
      <c r="T28">
        <f>P28*1000000/$E$1</f>
        <v>4.86</v>
      </c>
      <c r="U28">
        <f>Q28*1000000/$F$1</f>
        <v>4.91</v>
      </c>
    </row>
    <row r="29" spans="2:10">
      <c r="B29" t="s">
        <v>12</v>
      </c>
      <c r="C29">
        <v>0.041</v>
      </c>
      <c r="D29">
        <v>0.246</v>
      </c>
      <c r="E29">
        <v>2.515</v>
      </c>
      <c r="F29">
        <v>25.488</v>
      </c>
      <c r="G29">
        <f t="shared" si="3"/>
        <v>41</v>
      </c>
      <c r="H29">
        <f t="shared" si="4"/>
        <v>24.6</v>
      </c>
      <c r="I29">
        <f t="shared" si="5"/>
        <v>25.15</v>
      </c>
      <c r="J29">
        <f t="shared" si="6"/>
        <v>25.488</v>
      </c>
    </row>
    <row r="30" spans="2:10">
      <c r="B30" t="s">
        <v>13</v>
      </c>
      <c r="C30">
        <v>0.006</v>
      </c>
      <c r="D30">
        <v>0.019</v>
      </c>
      <c r="E30">
        <v>0.19</v>
      </c>
      <c r="F30">
        <v>2.157</v>
      </c>
      <c r="G30">
        <f t="shared" si="3"/>
        <v>6</v>
      </c>
      <c r="H30">
        <f t="shared" si="4"/>
        <v>1.9</v>
      </c>
      <c r="I30">
        <f t="shared" si="5"/>
        <v>1.9</v>
      </c>
      <c r="J30">
        <f t="shared" si="6"/>
        <v>2.157</v>
      </c>
    </row>
    <row r="31" spans="7:10"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0</v>
      </c>
    </row>
    <row r="32" spans="2:15">
      <c r="B32" t="s">
        <v>20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M32">
        <v>30</v>
      </c>
      <c r="N32">
        <f>E57*1000000/$D$1</f>
        <v>10.5</v>
      </c>
      <c r="O32">
        <f>F57*1000000/$E$1</f>
        <v>13.67</v>
      </c>
    </row>
    <row r="33" spans="2:15">
      <c r="B33" t="s">
        <v>10</v>
      </c>
      <c r="C33">
        <v>0.007</v>
      </c>
      <c r="D33">
        <v>0.058</v>
      </c>
      <c r="E33">
        <v>0.83</v>
      </c>
      <c r="F33">
        <v>8.58</v>
      </c>
      <c r="G33">
        <f t="shared" si="3"/>
        <v>7</v>
      </c>
      <c r="H33">
        <f t="shared" si="4"/>
        <v>5.8</v>
      </c>
      <c r="I33">
        <f t="shared" si="5"/>
        <v>8.3</v>
      </c>
      <c r="J33">
        <f t="shared" si="6"/>
        <v>8.58</v>
      </c>
      <c r="M33">
        <v>230</v>
      </c>
      <c r="N33">
        <f>E58*1000000/$D$1</f>
        <v>87.4</v>
      </c>
      <c r="O33">
        <f>F58*1000000/$E$1</f>
        <v>82.51</v>
      </c>
    </row>
    <row r="34" spans="2:10">
      <c r="B34" t="s">
        <v>11</v>
      </c>
      <c r="C34">
        <v>0.022</v>
      </c>
      <c r="D34">
        <v>0.093</v>
      </c>
      <c r="E34">
        <v>0.872</v>
      </c>
      <c r="F34">
        <v>11.438</v>
      </c>
      <c r="G34">
        <f t="shared" si="3"/>
        <v>22</v>
      </c>
      <c r="H34">
        <f t="shared" si="4"/>
        <v>9.3</v>
      </c>
      <c r="I34">
        <f t="shared" si="5"/>
        <v>8.72</v>
      </c>
      <c r="J34">
        <f t="shared" si="6"/>
        <v>11.438</v>
      </c>
    </row>
    <row r="35" spans="2:10">
      <c r="B35" t="s">
        <v>12</v>
      </c>
      <c r="C35">
        <v>0.034</v>
      </c>
      <c r="D35">
        <v>0.23</v>
      </c>
      <c r="E35">
        <v>2.755</v>
      </c>
      <c r="F35">
        <v>27.514</v>
      </c>
      <c r="G35">
        <f t="shared" si="3"/>
        <v>34</v>
      </c>
      <c r="H35">
        <f t="shared" si="4"/>
        <v>23</v>
      </c>
      <c r="I35">
        <f t="shared" si="5"/>
        <v>27.55</v>
      </c>
      <c r="J35">
        <f t="shared" si="6"/>
        <v>27.514</v>
      </c>
    </row>
    <row r="36" spans="2:10">
      <c r="B36" t="s">
        <v>13</v>
      </c>
      <c r="C36">
        <v>0.003</v>
      </c>
      <c r="D36">
        <v>0.01</v>
      </c>
      <c r="E36">
        <v>0.044</v>
      </c>
      <c r="F36">
        <v>0.566</v>
      </c>
      <c r="G36">
        <f t="shared" si="3"/>
        <v>3</v>
      </c>
      <c r="H36">
        <f t="shared" si="4"/>
        <v>1</v>
      </c>
      <c r="I36">
        <f t="shared" si="5"/>
        <v>0.44</v>
      </c>
      <c r="J36">
        <f t="shared" si="6"/>
        <v>0.566</v>
      </c>
    </row>
    <row r="37" spans="2:10">
      <c r="B37" t="s">
        <v>21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</row>
    <row r="38" spans="2:10">
      <c r="B38" t="s">
        <v>10</v>
      </c>
      <c r="C38">
        <v>0.007</v>
      </c>
      <c r="D38">
        <v>0.073</v>
      </c>
      <c r="E38">
        <v>0.723</v>
      </c>
      <c r="F38">
        <v>8.278</v>
      </c>
      <c r="G38">
        <f t="shared" si="3"/>
        <v>7</v>
      </c>
      <c r="H38">
        <f t="shared" si="4"/>
        <v>7.3</v>
      </c>
      <c r="I38">
        <f t="shared" si="5"/>
        <v>7.23</v>
      </c>
      <c r="J38">
        <f t="shared" si="6"/>
        <v>8.278</v>
      </c>
    </row>
    <row r="39" spans="2:10">
      <c r="B39" t="s">
        <v>11</v>
      </c>
      <c r="C39">
        <v>0.022</v>
      </c>
      <c r="D39">
        <v>0.109</v>
      </c>
      <c r="E39">
        <v>0.86</v>
      </c>
      <c r="F39">
        <v>9.97</v>
      </c>
      <c r="G39">
        <f t="shared" si="3"/>
        <v>22</v>
      </c>
      <c r="H39">
        <f t="shared" si="4"/>
        <v>10.9</v>
      </c>
      <c r="I39">
        <f t="shared" si="5"/>
        <v>8.6</v>
      </c>
      <c r="J39">
        <f t="shared" si="6"/>
        <v>9.97</v>
      </c>
    </row>
    <row r="40" spans="2:10">
      <c r="B40" t="s">
        <v>12</v>
      </c>
      <c r="C40">
        <v>0.035</v>
      </c>
      <c r="D40">
        <v>0.282</v>
      </c>
      <c r="E40">
        <v>2.488</v>
      </c>
      <c r="F40">
        <v>25.891</v>
      </c>
      <c r="G40">
        <f t="shared" si="3"/>
        <v>35</v>
      </c>
      <c r="H40">
        <f t="shared" si="4"/>
        <v>28.2</v>
      </c>
      <c r="I40">
        <f t="shared" si="5"/>
        <v>24.88</v>
      </c>
      <c r="J40">
        <f t="shared" si="6"/>
        <v>25.891</v>
      </c>
    </row>
    <row r="41" spans="2:10">
      <c r="B41" t="s">
        <v>13</v>
      </c>
      <c r="C41">
        <v>0.002</v>
      </c>
      <c r="D41">
        <v>0.01</v>
      </c>
      <c r="E41">
        <v>0.089</v>
      </c>
      <c r="F41">
        <v>0.846</v>
      </c>
      <c r="G41">
        <f t="shared" si="3"/>
        <v>2</v>
      </c>
      <c r="H41">
        <f t="shared" si="4"/>
        <v>1</v>
      </c>
      <c r="I41">
        <f t="shared" si="5"/>
        <v>0.89</v>
      </c>
      <c r="J41">
        <f t="shared" si="6"/>
        <v>0.846</v>
      </c>
    </row>
    <row r="42" spans="2:10">
      <c r="B42" t="s">
        <v>22</v>
      </c>
      <c r="G42">
        <f t="shared" si="3"/>
        <v>0</v>
      </c>
      <c r="H42">
        <f t="shared" si="4"/>
        <v>0</v>
      </c>
      <c r="I42">
        <f t="shared" si="5"/>
        <v>0</v>
      </c>
      <c r="J42">
        <f t="shared" si="6"/>
        <v>0</v>
      </c>
    </row>
    <row r="43" spans="2:10">
      <c r="B43" t="s">
        <v>10</v>
      </c>
      <c r="C43">
        <v>0.007</v>
      </c>
      <c r="D43">
        <v>0.077</v>
      </c>
      <c r="E43">
        <v>0.815</v>
      </c>
      <c r="F43">
        <v>8.277</v>
      </c>
      <c r="G43">
        <f t="shared" si="3"/>
        <v>7</v>
      </c>
      <c r="H43">
        <f t="shared" si="4"/>
        <v>7.7</v>
      </c>
      <c r="I43">
        <f t="shared" si="5"/>
        <v>8.15</v>
      </c>
      <c r="J43">
        <f t="shared" si="6"/>
        <v>8.277</v>
      </c>
    </row>
    <row r="44" spans="2:10">
      <c r="B44" t="s">
        <v>11</v>
      </c>
      <c r="C44">
        <v>0.027</v>
      </c>
      <c r="D44">
        <v>0.132</v>
      </c>
      <c r="E44">
        <v>0.835</v>
      </c>
      <c r="F44">
        <v>9.011</v>
      </c>
      <c r="G44">
        <f t="shared" si="3"/>
        <v>27</v>
      </c>
      <c r="H44">
        <f t="shared" si="4"/>
        <v>13.2</v>
      </c>
      <c r="I44">
        <f t="shared" si="5"/>
        <v>8.35</v>
      </c>
      <c r="J44">
        <f t="shared" si="6"/>
        <v>9.011</v>
      </c>
    </row>
    <row r="45" spans="2:10">
      <c r="B45" t="s">
        <v>12</v>
      </c>
      <c r="C45">
        <v>0.042</v>
      </c>
      <c r="D45">
        <v>0.236</v>
      </c>
      <c r="E45">
        <v>2.465</v>
      </c>
      <c r="F45">
        <v>24.8585</v>
      </c>
      <c r="G45">
        <f t="shared" si="3"/>
        <v>42</v>
      </c>
      <c r="H45">
        <f t="shared" si="4"/>
        <v>23.6</v>
      </c>
      <c r="I45">
        <f t="shared" si="5"/>
        <v>24.65</v>
      </c>
      <c r="J45">
        <f t="shared" si="6"/>
        <v>24.8585</v>
      </c>
    </row>
    <row r="46" spans="2:10">
      <c r="B46" t="s">
        <v>13</v>
      </c>
      <c r="C46">
        <v>0.005</v>
      </c>
      <c r="D46">
        <v>0.02</v>
      </c>
      <c r="E46">
        <v>0.192</v>
      </c>
      <c r="F46">
        <v>2.004</v>
      </c>
      <c r="G46">
        <f t="shared" si="3"/>
        <v>5</v>
      </c>
      <c r="H46">
        <f t="shared" si="4"/>
        <v>2</v>
      </c>
      <c r="I46">
        <f t="shared" si="5"/>
        <v>1.92</v>
      </c>
      <c r="J46">
        <f t="shared" si="6"/>
        <v>2.004</v>
      </c>
    </row>
    <row r="47" spans="2:10">
      <c r="B47" t="s">
        <v>23</v>
      </c>
      <c r="G47">
        <f t="shared" si="3"/>
        <v>0</v>
      </c>
      <c r="H47">
        <f t="shared" si="4"/>
        <v>0</v>
      </c>
      <c r="I47">
        <f t="shared" si="5"/>
        <v>0</v>
      </c>
      <c r="J47">
        <f t="shared" si="6"/>
        <v>0</v>
      </c>
    </row>
    <row r="48" spans="2:10">
      <c r="B48" t="s">
        <v>10</v>
      </c>
      <c r="C48">
        <v>0.008</v>
      </c>
      <c r="D48">
        <v>0.08</v>
      </c>
      <c r="E48">
        <v>0.812</v>
      </c>
      <c r="F48">
        <v>8.402</v>
      </c>
      <c r="G48">
        <f t="shared" si="3"/>
        <v>8</v>
      </c>
      <c r="H48">
        <f t="shared" si="4"/>
        <v>8</v>
      </c>
      <c r="I48">
        <f t="shared" si="5"/>
        <v>8.12</v>
      </c>
      <c r="J48">
        <f t="shared" si="6"/>
        <v>8.402</v>
      </c>
    </row>
    <row r="49" spans="2:10">
      <c r="B49" t="s">
        <v>11</v>
      </c>
      <c r="C49">
        <v>0.026</v>
      </c>
      <c r="D49">
        <v>0.106</v>
      </c>
      <c r="E49">
        <v>0.838</v>
      </c>
      <c r="F49">
        <v>9.322</v>
      </c>
      <c r="G49">
        <f t="shared" si="3"/>
        <v>26</v>
      </c>
      <c r="H49">
        <f t="shared" si="4"/>
        <v>10.6</v>
      </c>
      <c r="I49">
        <f t="shared" si="5"/>
        <v>8.38</v>
      </c>
      <c r="J49">
        <f t="shared" si="6"/>
        <v>9.322</v>
      </c>
    </row>
    <row r="50" spans="2:10">
      <c r="B50" t="s">
        <v>12</v>
      </c>
      <c r="C50">
        <v>0.041</v>
      </c>
      <c r="D50">
        <v>0.312</v>
      </c>
      <c r="E50">
        <v>2.602</v>
      </c>
      <c r="F50">
        <v>25.236</v>
      </c>
      <c r="G50">
        <f t="shared" si="3"/>
        <v>41</v>
      </c>
      <c r="H50">
        <f t="shared" si="4"/>
        <v>31.2</v>
      </c>
      <c r="I50">
        <f t="shared" si="5"/>
        <v>26.02</v>
      </c>
      <c r="J50">
        <f t="shared" si="6"/>
        <v>25.236</v>
      </c>
    </row>
    <row r="51" spans="2:10">
      <c r="B51" t="s">
        <v>13</v>
      </c>
      <c r="C51">
        <v>0.005</v>
      </c>
      <c r="D51">
        <v>0.052</v>
      </c>
      <c r="E51">
        <v>0.335</v>
      </c>
      <c r="F51">
        <v>3.857</v>
      </c>
      <c r="G51">
        <f t="shared" si="3"/>
        <v>5</v>
      </c>
      <c r="H51">
        <f t="shared" si="4"/>
        <v>5.2</v>
      </c>
      <c r="I51">
        <f t="shared" si="5"/>
        <v>3.35</v>
      </c>
      <c r="J51">
        <f t="shared" si="6"/>
        <v>3.857</v>
      </c>
    </row>
    <row r="52" spans="7:10">
      <c r="G52">
        <f>C52*1000000/$C$1</f>
        <v>0</v>
      </c>
      <c r="H52">
        <f>D52*1000000/$D$1</f>
        <v>0</v>
      </c>
      <c r="I52">
        <f>E52*1000000/$E$1</f>
        <v>0</v>
      </c>
      <c r="J52">
        <f>F52*1000000/$F$1</f>
        <v>0</v>
      </c>
    </row>
    <row r="53" spans="2:10">
      <c r="B53" t="s">
        <v>17</v>
      </c>
      <c r="C53">
        <v>0.001</v>
      </c>
      <c r="D53">
        <v>0.012</v>
      </c>
      <c r="E53">
        <v>0.101</v>
      </c>
      <c r="F53">
        <v>1.31</v>
      </c>
      <c r="G53">
        <f>C53*1000000/$C$1</f>
        <v>1</v>
      </c>
      <c r="H53">
        <f>D53*1000000/$D$1</f>
        <v>1.2</v>
      </c>
      <c r="I53">
        <f>E53*1000000/$E$1</f>
        <v>1.01</v>
      </c>
      <c r="J53">
        <f>F53*1000000/$F$1</f>
        <v>1.31</v>
      </c>
    </row>
    <row r="54" spans="2:10">
      <c r="B54" t="s">
        <v>18</v>
      </c>
      <c r="C54">
        <v>0.016</v>
      </c>
      <c r="D54">
        <v>0.207</v>
      </c>
      <c r="E54">
        <v>1.701</v>
      </c>
      <c r="F54">
        <v>15.6</v>
      </c>
      <c r="G54">
        <f>C54*1000000/$C$1</f>
        <v>16</v>
      </c>
      <c r="H54">
        <f>D54*1000000/$D$1</f>
        <v>20.7</v>
      </c>
      <c r="I54">
        <f>E54*1000000/$E$1</f>
        <v>17.01</v>
      </c>
      <c r="J54">
        <f>F54*1000000/$F$1</f>
        <v>15.6</v>
      </c>
    </row>
    <row r="55" spans="2:10">
      <c r="B55" t="s">
        <v>19</v>
      </c>
      <c r="C55">
        <v>0.022</v>
      </c>
      <c r="D55">
        <v>0.067</v>
      </c>
      <c r="E55">
        <v>0.486</v>
      </c>
      <c r="F55">
        <v>4.91</v>
      </c>
      <c r="G55">
        <f>C55*1000000/$C$1</f>
        <v>22</v>
      </c>
      <c r="H55">
        <f>D55*1000000/$D$1</f>
        <v>6.7</v>
      </c>
      <c r="I55">
        <f>E55*1000000/$E$1</f>
        <v>4.86</v>
      </c>
      <c r="J55">
        <f>F55*1000000/$F$1</f>
        <v>4.91</v>
      </c>
    </row>
    <row r="56" spans="8:10">
      <c r="H56">
        <f>D56*1000000/$D$1</f>
        <v>0</v>
      </c>
      <c r="I56">
        <f>E56*1000000/$E$1</f>
        <v>0</v>
      </c>
      <c r="J56">
        <f>F56*1000000/$F$1</f>
        <v>0</v>
      </c>
    </row>
    <row r="57" spans="2:10">
      <c r="B57" t="s">
        <v>24</v>
      </c>
      <c r="C57">
        <v>0.003</v>
      </c>
      <c r="D57">
        <v>0.02</v>
      </c>
      <c r="E57">
        <v>0.105</v>
      </c>
      <c r="F57">
        <v>1.367</v>
      </c>
      <c r="J57" t="e">
        <f>#REF!*1000000/$F$1</f>
        <v>#REF!</v>
      </c>
    </row>
    <row r="58" spans="2:10">
      <c r="B58" t="s">
        <v>25</v>
      </c>
      <c r="C58">
        <v>0.023</v>
      </c>
      <c r="D58">
        <v>0.146</v>
      </c>
      <c r="E58">
        <v>0.874</v>
      </c>
      <c r="F58">
        <v>8.251</v>
      </c>
      <c r="J58" t="e">
        <f>#REF!*1000000/$F$1</f>
        <v>#REF!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</cp:lastModifiedBy>
  <dcterms:created xsi:type="dcterms:W3CDTF">2017-07-28T07:50:00Z</dcterms:created>
  <dcterms:modified xsi:type="dcterms:W3CDTF">2017-07-28T13:52:35Z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